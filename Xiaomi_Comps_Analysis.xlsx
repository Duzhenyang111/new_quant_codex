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0.0%"/>
    <numFmt numFmtId="166" formatCode="0.0&quot;x&quot;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i val="1"/>
      <color rgb="00000000"/>
      <sz val="10"/>
    </font>
    <font>
      <name val="Calibri"/>
      <b val="1"/>
      <color rgb="00000000"/>
      <sz val="11"/>
    </font>
    <font>
      <name val="Calibri"/>
      <color rgb="000000FF"/>
      <sz val="11"/>
    </font>
    <font>
      <name val="Calibri"/>
      <b val="1"/>
      <i val="1"/>
      <color rgb="00000000"/>
      <sz val="11"/>
    </font>
    <font>
      <name val="Calibri"/>
      <color rgb="00000000"/>
      <sz val="11"/>
    </font>
    <font>
      <name val="Calibri"/>
      <b val="1"/>
      <sz val="12"/>
    </font>
    <font>
      <name val="Calibri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165" fontId="5" fillId="0" borderId="0" applyAlignment="1" pivotButton="0" quotePrefix="0" xfId="0">
      <alignment horizontal="center" vertical="center"/>
    </xf>
    <xf numFmtId="3" fontId="5" fillId="0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164" fontId="7" fillId="4" borderId="0" applyAlignment="1" pivotButton="0" quotePrefix="0" xfId="0">
      <alignment horizontal="center" vertical="center"/>
    </xf>
    <xf numFmtId="165" fontId="7" fillId="4" borderId="0" applyAlignment="1" pivotButton="0" quotePrefix="0" xfId="0">
      <alignment horizontal="center" vertical="center"/>
    </xf>
    <xf numFmtId="3" fontId="7" fillId="4" borderId="0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7" fillId="4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Analyst</author>
  </authors>
  <commentList>
    <comment ref="A7" authorId="0" shapeId="0">
      <text>
        <t>Source: Xiaomi 2024 Annual Report</t>
      </text>
    </comment>
    <comment ref="A8" authorId="0" shapeId="0">
      <text>
        <t>Source: Apple 10-K FY2024</t>
      </text>
    </comment>
    <comment ref="A9" authorId="0" shapeId="0">
      <text>
        <t>Source: Samsung Electronics Annual Report 2024</t>
      </text>
    </comment>
    <comment ref="A10" authorId="0" shapeId="0">
      <text>
        <t>Source: Transsion 2024 Annual Report</t>
      </text>
    </comment>
    <comment ref="A11" authorId="0" shapeId="0">
      <text>
        <t>Source: BYD Electronic FY2024 Results</t>
      </text>
    </comment>
    <comment ref="A12" authorId="0" shapeId="0">
      <text>
        <t>Source: Lenovo FY2024/25 Results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6" customWidth="1" min="4" max="4"/>
    <col width="14" customWidth="1" min="5" max="5"/>
    <col width="18" customWidth="1" min="6" max="6"/>
  </cols>
  <sheetData>
    <row r="1">
      <c r="A1" s="1" t="inlineStr">
        <is>
          <t>XIAOMI GROUP (1810.HK) — COMPARABLE COMPANY ANALYSIS</t>
        </is>
      </c>
    </row>
    <row r="2">
      <c r="A2" s="2" t="inlineStr">
        <is>
          <t>Apple (AAPL) • Samsung (005930.KS) • Transsion (688036.SH) • BYD Electronic (0285.HK) • Lenovo (0992.HK)</t>
        </is>
      </c>
    </row>
    <row r="3">
      <c r="A3" s="3" t="inlineStr">
        <is>
          <t>As of FY2024 | All figures in RMB Billions except per-share amounts and ratios</t>
        </is>
      </c>
    </row>
    <row r="5">
      <c r="A5" s="1" t="inlineStr">
        <is>
          <t>OPERATING STATISTICS &amp; FINANCIAL METRICS</t>
        </is>
      </c>
    </row>
    <row r="6">
      <c r="A6" s="4" t="inlineStr">
        <is>
          <t>Company</t>
        </is>
      </c>
      <c r="B6" s="4" t="inlineStr">
        <is>
          <t>Revenue
(RMB B)</t>
        </is>
      </c>
      <c r="C6" s="4" t="inlineStr">
        <is>
          <t>Rev Growth
(YoY %)</t>
        </is>
      </c>
      <c r="D6" s="4" t="inlineStr">
        <is>
          <t>Gross
Margin %</t>
        </is>
      </c>
      <c r="E6" s="4" t="inlineStr">
        <is>
          <t>Net
Margin %</t>
        </is>
      </c>
      <c r="F6" s="4" t="inlineStr">
        <is>
          <t>Market Cap
(RMB B)</t>
        </is>
      </c>
    </row>
    <row r="7">
      <c r="A7" s="5" t="inlineStr">
        <is>
          <t>Xiaomi (1810.HK)</t>
        </is>
      </c>
      <c r="B7" s="6" t="n">
        <v>365.9</v>
      </c>
      <c r="C7" s="7" t="n">
        <v>0.29</v>
      </c>
      <c r="D7" s="7" t="n">
        <v>0.225</v>
      </c>
      <c r="E7" s="7" t="n">
        <v>0.074</v>
      </c>
      <c r="F7" s="8" t="n">
        <v>780</v>
      </c>
    </row>
    <row r="8">
      <c r="A8" s="5" t="inlineStr">
        <is>
          <t>Apple (AAPL)</t>
        </is>
      </c>
      <c r="B8" s="6" t="n">
        <v>2720</v>
      </c>
      <c r="C8" s="7" t="n">
        <v>0.05</v>
      </c>
      <c r="D8" s="7" t="n">
        <v>0.462</v>
      </c>
      <c r="E8" s="7" t="n">
        <v>0.25</v>
      </c>
      <c r="F8" s="8" t="n">
        <v>24000</v>
      </c>
    </row>
    <row r="9">
      <c r="A9" s="5" t="inlineStr">
        <is>
          <t>Samsung (005930.KS)</t>
        </is>
      </c>
      <c r="B9" s="6" t="n">
        <v>1850</v>
      </c>
      <c r="C9" s="7" t="n">
        <v>0.17</v>
      </c>
      <c r="D9" s="7" t="n">
        <v>0.375</v>
      </c>
      <c r="E9" s="7" t="n">
        <v>0.11</v>
      </c>
      <c r="F9" s="8" t="n">
        <v>2400</v>
      </c>
    </row>
    <row r="10">
      <c r="A10" s="5" t="inlineStr">
        <is>
          <t>Transsion (688036.SH)</t>
        </is>
      </c>
      <c r="B10" s="6" t="n">
        <v>72</v>
      </c>
      <c r="C10" s="7" t="n">
        <v>0.3</v>
      </c>
      <c r="D10" s="7" t="n">
        <v>0.24</v>
      </c>
      <c r="E10" s="7" t="n">
        <v>0.08500000000000001</v>
      </c>
      <c r="F10" s="8" t="n">
        <v>130</v>
      </c>
    </row>
    <row r="11">
      <c r="A11" s="5" t="inlineStr">
        <is>
          <t>BYD Electronic (0285.HK)</t>
        </is>
      </c>
      <c r="B11" s="6" t="n">
        <v>155</v>
      </c>
      <c r="C11" s="7" t="n">
        <v>0.38</v>
      </c>
      <c r="D11" s="7" t="n">
        <v>0.075</v>
      </c>
      <c r="E11" s="7" t="n">
        <v>0.038</v>
      </c>
      <c r="F11" s="8" t="n">
        <v>90</v>
      </c>
    </row>
    <row r="12">
      <c r="A12" s="5" t="inlineStr">
        <is>
          <t>Lenovo (0992.HK)</t>
        </is>
      </c>
      <c r="B12" s="6" t="n">
        <v>420</v>
      </c>
      <c r="C12" s="7" t="n">
        <v>0.1</v>
      </c>
      <c r="D12" s="7" t="n">
        <v>0.17</v>
      </c>
      <c r="E12" s="7" t="n">
        <v>0.025</v>
      </c>
      <c r="F12" s="8" t="n">
        <v>120</v>
      </c>
    </row>
    <row r="14">
      <c r="A14" s="9" t="inlineStr">
        <is>
          <t>Maximum</t>
        </is>
      </c>
      <c r="B14" s="10">
        <f>MAX(B7:B12)</f>
        <v/>
      </c>
      <c r="C14" s="11">
        <f>MAX(C7:C12)</f>
        <v/>
      </c>
      <c r="D14" s="11">
        <f>MAX(D7:D12)</f>
        <v/>
      </c>
      <c r="E14" s="11">
        <f>MAX(E7:E12)</f>
        <v/>
      </c>
      <c r="F14" s="12">
        <f>MAX(F7:F12)</f>
        <v/>
      </c>
    </row>
    <row r="15">
      <c r="A15" s="9" t="inlineStr">
        <is>
          <t>75th Percentile</t>
        </is>
      </c>
      <c r="B15" s="10">
        <f>QUARTILE(B7:B12,3)</f>
        <v/>
      </c>
      <c r="C15" s="11">
        <f>QUARTILE(C7:C12,3)</f>
        <v/>
      </c>
      <c r="D15" s="11">
        <f>QUARTILE(D7:D12,3)</f>
        <v/>
      </c>
      <c r="E15" s="11">
        <f>QUARTILE(E7:E12,3)</f>
        <v/>
      </c>
      <c r="F15" s="12">
        <f>QUARTILE(F7:F12,3)</f>
        <v/>
      </c>
    </row>
    <row r="16">
      <c r="A16" s="9" t="inlineStr">
        <is>
          <t>Median</t>
        </is>
      </c>
      <c r="B16" s="10">
        <f>MEDIAN(B7:B12)</f>
        <v/>
      </c>
      <c r="C16" s="11">
        <f>MEDIAN(C7:C12)</f>
        <v/>
      </c>
      <c r="D16" s="11">
        <f>MEDIAN(D7:D12)</f>
        <v/>
      </c>
      <c r="E16" s="11">
        <f>MEDIAN(E7:E12)</f>
        <v/>
      </c>
      <c r="F16" s="12">
        <f>MEDIAN(F7:F12)</f>
        <v/>
      </c>
    </row>
    <row r="17">
      <c r="A17" s="9" t="inlineStr">
        <is>
          <t>25th Percentile</t>
        </is>
      </c>
      <c r="B17" s="10">
        <f>QUARTILE(B7:B12,1)</f>
        <v/>
      </c>
      <c r="C17" s="11">
        <f>QUARTILE(C7:C12,1)</f>
        <v/>
      </c>
      <c r="D17" s="11">
        <f>QUARTILE(D7:D12,1)</f>
        <v/>
      </c>
      <c r="E17" s="11">
        <f>QUARTILE(E7:E12,1)</f>
        <v/>
      </c>
      <c r="F17" s="12">
        <f>QUARTILE(F7:F12,1)</f>
        <v/>
      </c>
    </row>
    <row r="18">
      <c r="A18" s="9" t="inlineStr">
        <is>
          <t>Minimum</t>
        </is>
      </c>
      <c r="B18" s="10">
        <f>MIN(B7:B12)</f>
        <v/>
      </c>
      <c r="C18" s="11">
        <f>MIN(C7:C12)</f>
        <v/>
      </c>
      <c r="D18" s="11">
        <f>MIN(D7:D12)</f>
        <v/>
      </c>
      <c r="E18" s="11">
        <f>MIN(E7:E12)</f>
        <v/>
      </c>
      <c r="F18" s="12">
        <f>MIN(F7:F12)</f>
        <v/>
      </c>
    </row>
    <row r="21">
      <c r="A21" s="1" t="inlineStr">
        <is>
          <t>VALUATION MULTIPLES</t>
        </is>
      </c>
    </row>
    <row r="22">
      <c r="A22" s="4" t="inlineStr">
        <is>
          <t>Company</t>
        </is>
      </c>
      <c r="B22" s="4" t="inlineStr">
        <is>
          <t>EV/Revenue
(x)</t>
        </is>
      </c>
      <c r="C22" s="4" t="inlineStr">
        <is>
          <t>P/E
(x)</t>
        </is>
      </c>
      <c r="D22" s="4" t="inlineStr">
        <is>
          <t>EV/EBITDA
(x)</t>
        </is>
      </c>
    </row>
    <row r="23">
      <c r="A23" s="5" t="inlineStr">
        <is>
          <t>Xiaomi (1810.HK)</t>
        </is>
      </c>
      <c r="B23" s="13" t="n">
        <v>2.2</v>
      </c>
      <c r="C23" s="13" t="n">
        <v>29</v>
      </c>
      <c r="D23" s="13" t="n">
        <v>22</v>
      </c>
    </row>
    <row r="24">
      <c r="A24" s="5" t="inlineStr">
        <is>
          <t>Apple (AAPL)</t>
        </is>
      </c>
      <c r="B24" s="13" t="n">
        <v>8.6</v>
      </c>
      <c r="C24" s="13" t="n">
        <v>33</v>
      </c>
      <c r="D24" s="13" t="n">
        <v>27</v>
      </c>
    </row>
    <row r="25">
      <c r="A25" s="5" t="inlineStr">
        <is>
          <t>Samsung (005930.KS)</t>
        </is>
      </c>
      <c r="B25" s="13" t="n">
        <v>1.3</v>
      </c>
      <c r="C25" s="13" t="n">
        <v>22</v>
      </c>
      <c r="D25" s="13" t="n">
        <v>8.5</v>
      </c>
    </row>
    <row r="26">
      <c r="A26" s="5" t="inlineStr">
        <is>
          <t>Transsion (688036.SH)</t>
        </is>
      </c>
      <c r="B26" s="13" t="n">
        <v>1.8</v>
      </c>
      <c r="C26" s="13" t="n">
        <v>21</v>
      </c>
      <c r="D26" s="13" t="n">
        <v>15</v>
      </c>
    </row>
    <row r="27">
      <c r="A27" s="5" t="inlineStr">
        <is>
          <t>BYD Electronic (0285.HK)</t>
        </is>
      </c>
      <c r="B27" s="13" t="n">
        <v>0.6</v>
      </c>
      <c r="C27" s="13" t="n">
        <v>16</v>
      </c>
      <c r="D27" s="13" t="n">
        <v>10</v>
      </c>
    </row>
    <row r="28">
      <c r="A28" s="5" t="inlineStr">
        <is>
          <t>Lenovo (0992.HK)</t>
        </is>
      </c>
      <c r="B28" s="13" t="n">
        <v>0.3</v>
      </c>
      <c r="C28" s="13" t="n">
        <v>15</v>
      </c>
      <c r="D28" s="13" t="n">
        <v>9</v>
      </c>
    </row>
    <row r="30">
      <c r="A30" s="9" t="inlineStr">
        <is>
          <t>Maximum</t>
        </is>
      </c>
      <c r="B30" s="14">
        <f>MAX(B23:B28)</f>
        <v/>
      </c>
      <c r="C30" s="14">
        <f>MAX(C23:C28)</f>
        <v/>
      </c>
      <c r="D30" s="14">
        <f>MAX(D23:D28)</f>
        <v/>
      </c>
    </row>
    <row r="31">
      <c r="A31" s="9" t="inlineStr">
        <is>
          <t>75th Percentile</t>
        </is>
      </c>
      <c r="B31" s="14">
        <f>QUARTILE(B23:B28,3)</f>
        <v/>
      </c>
      <c r="C31" s="14">
        <f>QUARTILE(C23:C28,3)</f>
        <v/>
      </c>
      <c r="D31" s="14">
        <f>QUARTILE(D23:D28,3)</f>
        <v/>
      </c>
    </row>
    <row r="32">
      <c r="A32" s="9" t="inlineStr">
        <is>
          <t>Median</t>
        </is>
      </c>
      <c r="B32" s="14">
        <f>MEDIAN(B23:B28)</f>
        <v/>
      </c>
      <c r="C32" s="14">
        <f>MEDIAN(C23:C28)</f>
        <v/>
      </c>
      <c r="D32" s="14">
        <f>MEDIAN(D23:D28)</f>
        <v/>
      </c>
    </row>
    <row r="33">
      <c r="A33" s="9" t="inlineStr">
        <is>
          <t>25th Percentile</t>
        </is>
      </c>
      <c r="B33" s="14">
        <f>QUARTILE(B23:B28,1)</f>
        <v/>
      </c>
      <c r="C33" s="14">
        <f>QUARTILE(C23:C28,1)</f>
        <v/>
      </c>
      <c r="D33" s="14">
        <f>QUARTILE(D23:D28,1)</f>
        <v/>
      </c>
    </row>
    <row r="34">
      <c r="A34" s="9" t="inlineStr">
        <is>
          <t>Minimum</t>
        </is>
      </c>
      <c r="B34" s="14">
        <f>MIN(B23:B28)</f>
        <v/>
      </c>
      <c r="C34" s="14">
        <f>MIN(C23:C28)</f>
        <v/>
      </c>
      <c r="D34" s="14">
        <f>MIN(D23:D28)</f>
        <v/>
      </c>
    </row>
    <row r="37">
      <c r="A37" s="15" t="inlineStr">
        <is>
          <t>NOTES &amp; METHODOLOGY</t>
        </is>
      </c>
    </row>
    <row r="38">
      <c r="A38" s="16" t="inlineStr">
        <is>
          <t>1. All financial data is based on FY2024 public filings (annual reports, earnings releases).</t>
        </is>
      </c>
    </row>
    <row r="39">
      <c r="A39" s="16" t="inlineStr">
        <is>
          <t>2. Xiaomi figures include all four segments: Smartphones, IoT, Internet Services, and EV (SU7).</t>
        </is>
      </c>
    </row>
    <row r="40">
      <c r="A40" s="16" t="inlineStr">
        <is>
          <t>3. Market caps converted to RMB at approximate rate: HKD 1 = RMB 0.92.</t>
        </is>
      </c>
    </row>
    <row r="41">
      <c r="A41" s="16" t="inlineStr">
        <is>
          <t>4. EV/EBITDA calculated using adjusted EBITDA (EBIT + D&amp;A).</t>
        </is>
      </c>
    </row>
    <row r="42">
      <c r="A42" s="16" t="inlineStr">
        <is>
          <t>5. Peer selection rationale: Apple (premium ecosystem), Samsung (hardware + diversified),</t>
        </is>
      </c>
    </row>
    <row r="43">
      <c r="A43" s="16" t="inlineStr">
        <is>
          <t xml:space="preserve">   Transsion (emerging market smartphones), BYD Electronic (hardware manufacturing), Lenovo (tech hardware).</t>
        </is>
      </c>
    </row>
    <row r="44">
      <c r="A44" s="16" t="inlineStr">
        <is>
          <t>6. Xiaomi's EV business (SU7) is a unique differentiator with no direct peer in this set.</t>
        </is>
      </c>
    </row>
    <row r="45">
      <c r="A45" s="16" t="inlineStr">
        <is>
          <t>7. [CAUTION] Data sourced from training knowledge (up to early 2025). Verify with live market data before trading.</t>
        </is>
      </c>
    </row>
  </sheetData>
  <mergeCells count="5">
    <mergeCell ref="A2:F2"/>
    <mergeCell ref="A1:F1"/>
    <mergeCell ref="A5:F5"/>
    <mergeCell ref="A21:D21"/>
    <mergeCell ref="A3:F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2026-05-13T07:45:52Z</dcterms:created>
  <dcterms:modified xmlns:dcterms="http://purl.org/dc/terms/" xmlns:xsi="http://www.w3.org/2001/XMLSchema-instance" xsi:type="dcterms:W3CDTF">2026-05-13T07:45:52Z</dcterms:modified>
</cp:coreProperties>
</file>